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koppa\Downloads\"/>
    </mc:Choice>
  </mc:AlternateContent>
  <xr:revisionPtr revIDLastSave="0" documentId="8_{9C0FF725-0CEE-4FA9-B2AA-8781AB6396F2}" xr6:coauthVersionLast="47" xr6:coauthVersionMax="47" xr10:uidLastSave="{00000000-0000-0000-0000-000000000000}"/>
  <bookViews>
    <workbookView xWindow="-108" yWindow="-108" windowWidth="23256" windowHeight="12456" xr2:uid="{AA3C1E50-38F1-6644-B051-514CE6CAA6A2}"/>
  </bookViews>
  <sheets>
    <sheet name="Data" sheetId="1" r:id="rId1"/>
    <sheet name="Analyze" sheetId="5" r:id="rId2"/>
    <sheet name="Dashboard" sheetId="6"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6" l="1"/>
  <c r="I12" i="6"/>
  <c r="J12" i="6"/>
  <c r="H13" i="6"/>
  <c r="I13" i="6"/>
  <c r="J13" i="6"/>
  <c r="H14" i="6"/>
  <c r="I14" i="6"/>
  <c r="J14" i="6"/>
  <c r="H15" i="6"/>
  <c r="I15" i="6"/>
  <c r="J15" i="6"/>
  <c r="H16" i="6"/>
  <c r="I16" i="6"/>
  <c r="J16" i="6"/>
  <c r="H17" i="6"/>
  <c r="I17" i="6"/>
  <c r="J17" i="6"/>
  <c r="K17" i="6" s="1"/>
  <c r="I11" i="6"/>
  <c r="J11" i="6"/>
  <c r="H11" i="6"/>
  <c r="C12" i="6"/>
  <c r="D12" i="6"/>
  <c r="E12" i="6"/>
  <c r="C13" i="6"/>
  <c r="D13" i="6"/>
  <c r="E13" i="6"/>
  <c r="C14" i="6"/>
  <c r="D14" i="6"/>
  <c r="E14" i="6"/>
  <c r="F14" i="6" s="1"/>
  <c r="C15" i="6"/>
  <c r="D15" i="6"/>
  <c r="E15" i="6"/>
  <c r="F15" i="6" s="1"/>
  <c r="C16" i="6"/>
  <c r="D16" i="6"/>
  <c r="E16" i="6"/>
  <c r="D11" i="6"/>
  <c r="E11" i="6"/>
  <c r="C11" i="6"/>
  <c r="F21" i="5"/>
  <c r="G21" i="5"/>
  <c r="H21" i="5"/>
  <c r="F22" i="5"/>
  <c r="G22" i="5"/>
  <c r="H22" i="5"/>
  <c r="F23" i="5"/>
  <c r="G23" i="5"/>
  <c r="H23" i="5"/>
  <c r="E24" i="5"/>
  <c r="F24" i="5"/>
  <c r="G24" i="5"/>
  <c r="H24" i="5"/>
  <c r="F25" i="5"/>
  <c r="G25" i="5"/>
  <c r="H25" i="5"/>
  <c r="F26" i="5"/>
  <c r="G26" i="5"/>
  <c r="H26" i="5"/>
  <c r="F27" i="5"/>
  <c r="G27" i="5"/>
  <c r="H27" i="5"/>
  <c r="F20" i="5"/>
  <c r="G20" i="5"/>
  <c r="H20" i="5"/>
  <c r="E20" i="5"/>
  <c r="K11" i="6" l="1"/>
  <c r="K13" i="6"/>
  <c r="F13" i="6"/>
  <c r="E17" i="6"/>
  <c r="F11" i="6"/>
  <c r="F16" i="6"/>
  <c r="F12" i="6"/>
  <c r="D17" i="6"/>
  <c r="K12" i="6"/>
  <c r="K14" i="6"/>
  <c r="K16" i="6"/>
  <c r="K15" i="6"/>
  <c r="F17" i="6" l="1"/>
</calcChain>
</file>

<file path=xl/sharedStrings.xml><?xml version="1.0" encoding="utf-8"?>
<sst xmlns="http://schemas.openxmlformats.org/spreadsheetml/2006/main" count="48311" uniqueCount="156">
  <si>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</si>
  <si>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</si>
  <si>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</si>
  <si>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</si>
  <si>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</si>
  <si>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</si>
  <si>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</si>
  <si>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</si>
  <si>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</si>
  <si>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</si>
  <si>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</si>
  <si>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</si>
  <si>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</si>
  <si>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</si>
  <si>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</si>
  <si>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</si>
  <si>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</si>
  <si>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</si>
  <si>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</si>
  <si>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</si>
  <si>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</si>
  <si>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</si>
  <si>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</si>
  <si>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</si>
  <si>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</si>
  <si>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</si>
  <si>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</si>
  <si>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</si>
  <si>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</si>
  <si>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</si>
  <si>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</si>
  <si>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</si>
  <si>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</si>
  <si>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</si>
  <si>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</si>
  <si>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</si>
  <si>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</si>
  <si>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</si>
  <si>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</si>
  <si>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</si>
  <si>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</si>
  <si>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</si>
  <si>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</si>
  <si>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</si>
  <si>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</si>
  <si>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</si>
  <si>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</si>
  <si>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</si>
  <si>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</si>
  <si>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</si>
  <si>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</si>
  <si>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</si>
  <si>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</si>
  <si>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</si>
  <si>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</si>
  <si>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</si>
  <si>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</si>
  <si>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</si>
  <si>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</si>
  <si>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</si>
  <si>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</si>
  <si>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</si>
  <si>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</si>
  <si>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</si>
  <si>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</si>
  <si>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</si>
  <si>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</si>
  <si>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</si>
  <si>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</si>
  <si>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</si>
  <si>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</si>
  <si>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</si>
  <si>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</si>
  <si>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</si>
  <si>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</si>
  <si>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</si>
  <si>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</si>
  <si>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</si>
  <si>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</si>
  <si>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</si>
  <si>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</si>
  <si>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</si>
  <si>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</si>
  <si>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</si>
  <si>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</si>
  <si>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</si>
  <si>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</si>
  <si>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</si>
  <si>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</si>
  <si>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</si>
  <si>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</si>
  <si>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</si>
  <si>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</si>
  <si>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</si>
  <si>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</si>
  <si>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</si>
  <si>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</si>
  <si>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</si>
  <si>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</si>
  <si>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</si>
  <si>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</si>
  <si>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</si>
  <si>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</si>
  <si>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</si>
  <si>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</si>
  <si>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</si>
  <si>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</si>
  <si>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</si>
  <si>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</si>
  <si>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</si>
  <si>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</si>
  <si>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</si>
  <si>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</si>
  <si>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</si>
  <si>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</si>
  <si>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</si>
  <si>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</si>
  <si>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</si>
  <si>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</si>
  <si>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</si>
  <si>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</si>
  <si>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</si>
  <si>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</si>
  <si>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</si>
  <si>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</si>
  <si>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</si>
  <si>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</si>
  <si>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</si>
  <si>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</si>
  <si>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</si>
  <si>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</si>
  <si>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Brand</t>
  </si>
  <si>
    <t>Sales 2022</t>
  </si>
  <si>
    <t>Sales 2023</t>
  </si>
  <si>
    <t>Variance</t>
  </si>
  <si>
    <t>Sales by Beverage Brand</t>
  </si>
  <si>
    <t>Sales by Retailer</t>
  </si>
  <si>
    <t>Sales and Operating Profit Margin By Quarter</t>
  </si>
  <si>
    <t>Sum of Total Sales</t>
  </si>
  <si>
    <t>Sum of Units Sold</t>
  </si>
  <si>
    <t>Sum of Operating Profit</t>
  </si>
  <si>
    <t>Average of Price per Unit</t>
  </si>
  <si>
    <t>Row Labels</t>
  </si>
  <si>
    <t>Grand Total</t>
  </si>
  <si>
    <t>Column Labels</t>
  </si>
  <si>
    <t>2022</t>
  </si>
  <si>
    <t>2023</t>
  </si>
  <si>
    <t>Qtr1</t>
  </si>
  <si>
    <t>Qtr2</t>
  </si>
  <si>
    <t>Qtr3</t>
  </si>
  <si>
    <t>Qtr4</t>
  </si>
  <si>
    <t>Years (Invoice Date)</t>
  </si>
  <si>
    <t>Quarters (Invoice Date)</t>
  </si>
  <si>
    <t>Average of Operating Margin</t>
  </si>
  <si>
    <t xml:space="preserve"> Grand Total</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</si>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</sst>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C09]#,##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
      <b/>
      <sz val="12"/>
      <color rgb="FFFFFFFF"/>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6" fillId="4" borderId="0" xfId="0" applyFont="1" applyFill="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5" borderId="2" xfId="0" applyFill="1" applyBorder="1"/>
    <xf numFmtId="3" fontId="0" fillId="5" borderId="2" xfId="0" applyNumberFormat="1" applyFill="1" applyBorder="1"/>
    <xf numFmtId="166" fontId="0" fillId="0" borderId="0" xfId="0" applyNumberFormat="1"/>
    <xf numFmtId="0" fontId="0" fillId="0" borderId="0" xfId="0" quotePrefix="1"/>
    <xf numFmtId="0" fontId="2" fillId="3" borderId="0" xfId="0" applyFont="1" applyFill="1" applyAlignment="1">
      <alignment horizontal="center"/>
    </xf>
    <xf numFmtId="0" fontId="5" fillId="3" borderId="0" xfId="0" applyFont="1" applyFill="1" applyAlignment="1">
      <alignment horizontal="center"/>
    </xf>
    <xf numFmtId="0" fontId="6" fillId="3" borderId="0" xfId="0" applyFont="1" applyFill="1" applyAlignment="1">
      <alignment horizontal="center"/>
    </xf>
  </cellXfs>
  <cellStyles count="2">
    <cellStyle name="Hyperlink 2" xfId="1" xr:uid="{229837FD-7C70-47AC-B854-CBC5538B0B97}"/>
    <cellStyle name="Normal" xfId="0" builtinId="0"/>
  </cellStyles>
  <dxfs count="21">
    <dxf>
      <numFmt numFmtId="3" formatCode="#,##0"/>
    </dxf>
    <dxf>
      <numFmt numFmtId="166" formatCode="[$$-C09]#,##0.00"/>
    </dxf>
    <dxf>
      <numFmt numFmtId="3" formatCode="#,##0"/>
    </dxf>
    <dxf>
      <numFmt numFmtId="166" formatCode="[$$-C09]#,##0.00"/>
    </dxf>
    <dxf>
      <numFmt numFmtId="166" formatCode="[$$-C09]#,##0.0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FF"/>
      <color rgb="FFFFFF99"/>
      <color rgb="FF073673"/>
      <color rgb="FF000099"/>
      <color rgb="FF969696"/>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v>Sales</c:v>
          </c:tx>
          <c:spPr>
            <a:solidFill>
              <a:schemeClr val="accent1">
                <a:lumMod val="50000"/>
              </a:schemeClr>
            </a:solidFill>
            <a:ln>
              <a:noFill/>
            </a:ln>
            <a:effectLst/>
          </c:spPr>
          <c:invertIfNegative val="0"/>
          <c:cat>
            <c:multiLvlStrRef>
              <c:f>Analyze!$E$20:$F$27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Analyze!$G$20:$G$27</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9CB0-4011-BCE2-3523B31A8110}"/>
            </c:ext>
          </c:extLst>
        </c:ser>
        <c:dLbls>
          <c:showLegendKey val="0"/>
          <c:showVal val="0"/>
          <c:showCatName val="0"/>
          <c:showSerName val="0"/>
          <c:showPercent val="0"/>
          <c:showBubbleSize val="0"/>
        </c:dLbls>
        <c:gapWidth val="219"/>
        <c:axId val="1104377792"/>
        <c:axId val="1104378752"/>
      </c:barChart>
      <c:lineChart>
        <c:grouping val="standard"/>
        <c:varyColors val="0"/>
        <c:ser>
          <c:idx val="1"/>
          <c:order val="1"/>
          <c:tx>
            <c:v>Operating Profit Margin</c:v>
          </c:tx>
          <c:spPr>
            <a:ln w="28575" cap="rnd">
              <a:solidFill>
                <a:schemeClr val="accent1">
                  <a:shade val="76000"/>
                </a:schemeClr>
              </a:solidFill>
              <a:round/>
            </a:ln>
            <a:effectLst/>
          </c:spPr>
          <c:marker>
            <c:symbol val="circle"/>
            <c:size val="5"/>
            <c:spPr>
              <a:solidFill>
                <a:schemeClr val="bg1"/>
              </a:solidFill>
              <a:ln w="9525">
                <a:solidFill>
                  <a:schemeClr val="accent1">
                    <a:shade val="76000"/>
                  </a:schemeClr>
                </a:solidFill>
              </a:ln>
              <a:effectLst/>
            </c:spPr>
          </c:marker>
          <c:dPt>
            <c:idx val="1"/>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3-9CB0-4011-BCE2-3523B31A8110}"/>
              </c:ext>
            </c:extLst>
          </c:dPt>
          <c:dPt>
            <c:idx val="2"/>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4-9CB0-4011-BCE2-3523B31A8110}"/>
              </c:ext>
            </c:extLst>
          </c:dPt>
          <c:dPt>
            <c:idx val="3"/>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5-9CB0-4011-BCE2-3523B31A8110}"/>
              </c:ext>
            </c:extLst>
          </c:dPt>
          <c:dPt>
            <c:idx val="4"/>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6-9CB0-4011-BCE2-3523B31A8110}"/>
              </c:ext>
            </c:extLst>
          </c:dPt>
          <c:dPt>
            <c:idx val="5"/>
            <c:marker>
              <c:symbol val="circle"/>
              <c:size val="5"/>
              <c:spPr>
                <a:solidFill>
                  <a:schemeClr val="bg1"/>
                </a:solidFill>
                <a:ln w="9525">
                  <a:solidFill>
                    <a:schemeClr val="accent1">
                      <a:shade val="76000"/>
                    </a:schemeClr>
                  </a:solidFill>
                </a:ln>
                <a:effectLst/>
              </c:spPr>
            </c:marker>
            <c:bubble3D val="0"/>
            <c:spPr>
              <a:ln w="28575" cap="rnd">
                <a:solidFill>
                  <a:srgbClr val="FF0000"/>
                </a:solidFill>
                <a:round/>
              </a:ln>
              <a:effectLst/>
            </c:spPr>
            <c:extLst>
              <c:ext xmlns:c16="http://schemas.microsoft.com/office/drawing/2014/chart" uri="{C3380CC4-5D6E-409C-BE32-E72D297353CC}">
                <c16:uniqueId val="{00000002-9CB0-4011-BCE2-3523B31A8110}"/>
              </c:ext>
            </c:extLst>
          </c:dPt>
          <c:dPt>
            <c:idx val="6"/>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7-9CB0-4011-BCE2-3523B31A8110}"/>
              </c:ext>
            </c:extLst>
          </c:dPt>
          <c:dPt>
            <c:idx val="7"/>
            <c:marker>
              <c:symbol val="circle"/>
              <c:size val="5"/>
              <c:spPr>
                <a:solidFill>
                  <a:schemeClr val="bg1"/>
                </a:solidFill>
                <a:ln w="9525">
                  <a:solidFill>
                    <a:schemeClr val="accent1">
                      <a:shade val="76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8-9CB0-4011-BCE2-3523B31A8110}"/>
              </c:ext>
            </c:extLst>
          </c:dPt>
          <c:cat>
            <c:multiLvlStrRef>
              <c:f>Analyze!$E$20:$F$27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Analyze!$H$20:$H$27</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9CB0-4011-BCE2-3523B31A8110}"/>
            </c:ext>
          </c:extLst>
        </c:ser>
        <c:dLbls>
          <c:showLegendKey val="0"/>
          <c:showVal val="0"/>
          <c:showCatName val="0"/>
          <c:showSerName val="0"/>
          <c:showPercent val="0"/>
          <c:showBubbleSize val="0"/>
        </c:dLbls>
        <c:marker val="1"/>
        <c:smooth val="0"/>
        <c:axId val="777933264"/>
        <c:axId val="777934224"/>
      </c:lineChart>
      <c:catAx>
        <c:axId val="110437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78752"/>
        <c:crosses val="autoZero"/>
        <c:auto val="1"/>
        <c:lblAlgn val="ctr"/>
        <c:lblOffset val="100"/>
        <c:noMultiLvlLbl val="0"/>
      </c:catAx>
      <c:valAx>
        <c:axId val="110437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77792"/>
        <c:crosses val="autoZero"/>
        <c:crossBetween val="between"/>
      </c:valAx>
      <c:valAx>
        <c:axId val="7779342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33264"/>
        <c:crosses val="max"/>
        <c:crossBetween val="between"/>
      </c:valAx>
      <c:catAx>
        <c:axId val="777933264"/>
        <c:scaling>
          <c:orientation val="minMax"/>
        </c:scaling>
        <c:delete val="1"/>
        <c:axPos val="b"/>
        <c:numFmt formatCode="General" sourceLinked="1"/>
        <c:majorTickMark val="out"/>
        <c:minorTickMark val="none"/>
        <c:tickLblPos val="nextTo"/>
        <c:crossAx val="777934224"/>
        <c:crosses val="autoZero"/>
        <c:auto val="1"/>
        <c:lblAlgn val="ctr"/>
        <c:lblOffset val="100"/>
        <c:noMultiLvlLbl val="0"/>
      </c:cat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289561</xdr:colOff>
      <xdr:row>0</xdr:row>
      <xdr:rowOff>129540</xdr:rowOff>
    </xdr:from>
    <xdr:to>
      <xdr:col>11</xdr:col>
      <xdr:colOff>84668</xdr:colOff>
      <xdr:row>3</xdr:row>
      <xdr:rowOff>190500</xdr:rowOff>
    </xdr:to>
    <xdr:sp macro="" textlink="">
      <xdr:nvSpPr>
        <xdr:cNvPr id="2" name="Rectangle 1">
          <a:extLst>
            <a:ext uri="{FF2B5EF4-FFF2-40B4-BE49-F238E27FC236}">
              <a16:creationId xmlns:a16="http://schemas.microsoft.com/office/drawing/2014/main" id="{62C3B02E-CCC3-CE45-1C72-FD1F998D178C}"/>
            </a:ext>
          </a:extLst>
        </xdr:cNvPr>
        <xdr:cNvSpPr/>
      </xdr:nvSpPr>
      <xdr:spPr>
        <a:xfrm>
          <a:off x="2696513" y="129540"/>
          <a:ext cx="7850536" cy="641531"/>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Coca-Cola</a:t>
          </a:r>
          <a:r>
            <a:rPr lang="en-IN" sz="1600" b="1" baseline="0"/>
            <a:t> USA Retailer Dashboard             </a:t>
          </a:r>
        </a:p>
        <a:p>
          <a:pPr algn="l"/>
          <a:r>
            <a:rPr lang="en-IN" sz="1050" b="1" i="1" baseline="0">
              <a:solidFill>
                <a:srgbClr val="969696"/>
              </a:solidFill>
            </a:rPr>
            <a:t>Figures in USA</a:t>
          </a:r>
          <a:endParaRPr lang="en-IN" sz="1050" b="1" i="1">
            <a:solidFill>
              <a:srgbClr val="969696"/>
            </a:solidFill>
          </a:endParaRPr>
        </a:p>
      </xdr:txBody>
    </xdr:sp>
    <xdr:clientData/>
  </xdr:twoCellAnchor>
  <xdr:twoCellAnchor>
    <xdr:from>
      <xdr:col>1</xdr:col>
      <xdr:colOff>297180</xdr:colOff>
      <xdr:row>4</xdr:row>
      <xdr:rowOff>114300</xdr:rowOff>
    </xdr:from>
    <xdr:to>
      <xdr:col>3</xdr:col>
      <xdr:colOff>713619</xdr:colOff>
      <xdr:row>7</xdr:row>
      <xdr:rowOff>60960</xdr:rowOff>
    </xdr:to>
    <xdr:sp macro="" textlink="">
      <xdr:nvSpPr>
        <xdr:cNvPr id="17" name="Rectangle 16">
          <a:extLst>
            <a:ext uri="{FF2B5EF4-FFF2-40B4-BE49-F238E27FC236}">
              <a16:creationId xmlns:a16="http://schemas.microsoft.com/office/drawing/2014/main" id="{0D0EA65E-E264-4150-9DBD-2753975ED0A8}"/>
            </a:ext>
          </a:extLst>
        </xdr:cNvPr>
        <xdr:cNvSpPr/>
      </xdr:nvSpPr>
      <xdr:spPr>
        <a:xfrm>
          <a:off x="2704132" y="888395"/>
          <a:ext cx="1601773" cy="527232"/>
        </a:xfrm>
        <a:prstGeom prst="rect">
          <a:avLst/>
        </a:prstGeom>
        <a:solidFill>
          <a:srgbClr val="4472C4">
            <a:lumMod val="60000"/>
            <a:lumOff val="40000"/>
          </a:srgbClr>
        </a:solidFill>
        <a:ln w="12700" cap="flat" cmpd="sng" algn="ctr">
          <a:solidFill>
            <a:srgbClr val="4472C4">
              <a:shade val="15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Total Sales</a:t>
          </a:r>
        </a:p>
      </xdr:txBody>
    </xdr:sp>
    <xdr:clientData/>
  </xdr:twoCellAnchor>
  <xdr:twoCellAnchor>
    <xdr:from>
      <xdr:col>4</xdr:col>
      <xdr:colOff>200418</xdr:colOff>
      <xdr:row>4</xdr:row>
      <xdr:rowOff>114300</xdr:rowOff>
    </xdr:from>
    <xdr:to>
      <xdr:col>6</xdr:col>
      <xdr:colOff>157238</xdr:colOff>
      <xdr:row>7</xdr:row>
      <xdr:rowOff>60960</xdr:rowOff>
    </xdr:to>
    <xdr:sp macro="" textlink="">
      <xdr:nvSpPr>
        <xdr:cNvPr id="19" name="Rectangle 18">
          <a:extLst>
            <a:ext uri="{FF2B5EF4-FFF2-40B4-BE49-F238E27FC236}">
              <a16:creationId xmlns:a16="http://schemas.microsoft.com/office/drawing/2014/main" id="{F3E81237-8C43-4964-B542-40476B97C076}"/>
            </a:ext>
          </a:extLst>
        </xdr:cNvPr>
        <xdr:cNvSpPr/>
      </xdr:nvSpPr>
      <xdr:spPr>
        <a:xfrm>
          <a:off x="4651466" y="888395"/>
          <a:ext cx="1674343" cy="527232"/>
        </a:xfrm>
        <a:prstGeom prst="rect">
          <a:avLst/>
        </a:prstGeom>
        <a:solidFill>
          <a:srgbClr val="4472C4">
            <a:lumMod val="60000"/>
            <a:lumOff val="40000"/>
          </a:srgbClr>
        </a:solidFill>
        <a:ln w="12700" cap="flat" cmpd="sng" algn="ctr">
          <a:solidFill>
            <a:srgbClr val="4472C4">
              <a:shade val="15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Units Sold	</a:t>
          </a:r>
        </a:p>
      </xdr:txBody>
    </xdr:sp>
    <xdr:clientData/>
  </xdr:twoCellAnchor>
  <xdr:twoCellAnchor>
    <xdr:from>
      <xdr:col>6</xdr:col>
      <xdr:colOff>532191</xdr:colOff>
      <xdr:row>4</xdr:row>
      <xdr:rowOff>121920</xdr:rowOff>
    </xdr:from>
    <xdr:to>
      <xdr:col>8</xdr:col>
      <xdr:colOff>547794</xdr:colOff>
      <xdr:row>7</xdr:row>
      <xdr:rowOff>68580</xdr:rowOff>
    </xdr:to>
    <xdr:sp macro="" textlink="">
      <xdr:nvSpPr>
        <xdr:cNvPr id="20" name="Rectangle 19">
          <a:extLst>
            <a:ext uri="{FF2B5EF4-FFF2-40B4-BE49-F238E27FC236}">
              <a16:creationId xmlns:a16="http://schemas.microsoft.com/office/drawing/2014/main" id="{44E0EA37-2030-46BC-9A87-ABAD032F16DB}"/>
            </a:ext>
          </a:extLst>
        </xdr:cNvPr>
        <xdr:cNvSpPr/>
      </xdr:nvSpPr>
      <xdr:spPr>
        <a:xfrm>
          <a:off x="6700762" y="896015"/>
          <a:ext cx="1733127" cy="527232"/>
        </a:xfrm>
        <a:prstGeom prst="rect">
          <a:avLst/>
        </a:prstGeom>
        <a:solidFill>
          <a:srgbClr val="4472C4">
            <a:lumMod val="60000"/>
            <a:lumOff val="40000"/>
          </a:srgbClr>
        </a:solidFill>
        <a:ln w="12700" cap="flat" cmpd="sng" algn="ctr">
          <a:solidFill>
            <a:srgbClr val="4472C4">
              <a:shade val="15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Average Price</a:t>
          </a:r>
        </a:p>
      </xdr:txBody>
    </xdr:sp>
    <xdr:clientData/>
  </xdr:twoCellAnchor>
  <xdr:twoCellAnchor>
    <xdr:from>
      <xdr:col>9</xdr:col>
      <xdr:colOff>48381</xdr:colOff>
      <xdr:row>4</xdr:row>
      <xdr:rowOff>126395</xdr:rowOff>
    </xdr:from>
    <xdr:to>
      <xdr:col>11</xdr:col>
      <xdr:colOff>48502</xdr:colOff>
      <xdr:row>7</xdr:row>
      <xdr:rowOff>73055</xdr:rowOff>
    </xdr:to>
    <xdr:sp macro="" textlink="">
      <xdr:nvSpPr>
        <xdr:cNvPr id="21" name="Rectangle 20">
          <a:extLst>
            <a:ext uri="{FF2B5EF4-FFF2-40B4-BE49-F238E27FC236}">
              <a16:creationId xmlns:a16="http://schemas.microsoft.com/office/drawing/2014/main" id="{0B323085-F7BC-4215-8877-222776664992}"/>
            </a:ext>
          </a:extLst>
        </xdr:cNvPr>
        <xdr:cNvSpPr/>
      </xdr:nvSpPr>
      <xdr:spPr>
        <a:xfrm>
          <a:off x="8793238" y="900490"/>
          <a:ext cx="1717645" cy="527232"/>
        </a:xfrm>
        <a:prstGeom prst="rect">
          <a:avLst/>
        </a:prstGeom>
        <a:solidFill>
          <a:srgbClr val="4472C4">
            <a:lumMod val="60000"/>
            <a:lumOff val="40000"/>
          </a:srgbClr>
        </a:solidFill>
        <a:ln w="12700" cap="flat" cmpd="sng" algn="ctr">
          <a:solidFill>
            <a:srgbClr val="4472C4">
              <a:shade val="15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Total Operation Profit</a:t>
          </a:r>
        </a:p>
      </xdr:txBody>
    </xdr:sp>
    <xdr:clientData/>
  </xdr:twoCellAnchor>
  <xdr:twoCellAnchor editAs="oneCell">
    <xdr:from>
      <xdr:col>0</xdr:col>
      <xdr:colOff>185160</xdr:colOff>
      <xdr:row>0</xdr:row>
      <xdr:rowOff>0</xdr:rowOff>
    </xdr:from>
    <xdr:to>
      <xdr:col>0</xdr:col>
      <xdr:colOff>2271757</xdr:colOff>
      <xdr:row>5</xdr:row>
      <xdr:rowOff>85458</xdr:rowOff>
    </xdr:to>
    <xdr:pic>
      <xdr:nvPicPr>
        <xdr:cNvPr id="25" name="Picture 24">
          <a:extLst>
            <a:ext uri="{FF2B5EF4-FFF2-40B4-BE49-F238E27FC236}">
              <a16:creationId xmlns:a16="http://schemas.microsoft.com/office/drawing/2014/main" id="{1F9E8EF7-DD85-54CE-74E9-2FA081283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160" y="0"/>
          <a:ext cx="2086597" cy="1082467"/>
        </a:xfrm>
        <a:prstGeom prst="rect">
          <a:avLst/>
        </a:prstGeom>
      </xdr:spPr>
    </xdr:pic>
    <xdr:clientData/>
  </xdr:twoCellAnchor>
  <xdr:twoCellAnchor editAs="oneCell">
    <xdr:from>
      <xdr:col>9</xdr:col>
      <xdr:colOff>613712</xdr:colOff>
      <xdr:row>0</xdr:row>
      <xdr:rowOff>187356</xdr:rowOff>
    </xdr:from>
    <xdr:to>
      <xdr:col>11</xdr:col>
      <xdr:colOff>8224</xdr:colOff>
      <xdr:row>3</xdr:row>
      <xdr:rowOff>172115</xdr:rowOff>
    </xdr:to>
    <xdr:pic>
      <xdr:nvPicPr>
        <xdr:cNvPr id="29" name="Picture 28">
          <a:extLst>
            <a:ext uri="{FF2B5EF4-FFF2-40B4-BE49-F238E27FC236}">
              <a16:creationId xmlns:a16="http://schemas.microsoft.com/office/drawing/2014/main" id="{4F87FD9C-521A-68AF-14EF-5F8AC5A725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8569" y="187356"/>
          <a:ext cx="1112036" cy="565330"/>
        </a:xfrm>
        <a:prstGeom prst="rect">
          <a:avLst/>
        </a:prstGeom>
      </xdr:spPr>
    </xdr:pic>
    <xdr:clientData/>
  </xdr:twoCellAnchor>
  <xdr:oneCellAnchor>
    <xdr:from>
      <xdr:col>2</xdr:col>
      <xdr:colOff>145572</xdr:colOff>
      <xdr:row>5</xdr:row>
      <xdr:rowOff>58648</xdr:rowOff>
    </xdr:from>
    <xdr:ext cx="1767840" cy="374141"/>
    <xdr:sp macro="" textlink="Analyze!A4">
      <xdr:nvSpPr>
        <xdr:cNvPr id="30" name="TextBox 29">
          <a:extLst>
            <a:ext uri="{FF2B5EF4-FFF2-40B4-BE49-F238E27FC236}">
              <a16:creationId xmlns:a16="http://schemas.microsoft.com/office/drawing/2014/main" id="{C08665AE-E793-BEC0-A1FC-44252FC865CE}"/>
            </a:ext>
          </a:extLst>
        </xdr:cNvPr>
        <xdr:cNvSpPr txBox="1"/>
      </xdr:nvSpPr>
      <xdr:spPr>
        <a:xfrm>
          <a:off x="2876072" y="1046426"/>
          <a:ext cx="1767840"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F888863-5CFA-4AB6-B2D6-9CEEEF8A942C}" type="TxLink">
            <a:rPr lang="en-US" sz="1800" b="1" i="0" u="none" strike="noStrike">
              <a:solidFill>
                <a:schemeClr val="bg1"/>
              </a:solidFill>
              <a:latin typeface="Calibri"/>
              <a:ea typeface="Calibri"/>
              <a:cs typeface="Calibri"/>
            </a:rPr>
            <a:pPr/>
            <a:t>1,20,16,665</a:t>
          </a:fld>
          <a:endParaRPr lang="en-IN" sz="1800" b="1">
            <a:solidFill>
              <a:schemeClr val="bg1"/>
            </a:solidFill>
          </a:endParaRPr>
        </a:p>
      </xdr:txBody>
    </xdr:sp>
    <xdr:clientData/>
  </xdr:oneCellAnchor>
  <xdr:oneCellAnchor>
    <xdr:from>
      <xdr:col>4</xdr:col>
      <xdr:colOff>545535</xdr:colOff>
      <xdr:row>5</xdr:row>
      <xdr:rowOff>58419</xdr:rowOff>
    </xdr:from>
    <xdr:ext cx="1380631" cy="374141"/>
    <xdr:sp macro="" textlink="Analyze!B4">
      <xdr:nvSpPr>
        <xdr:cNvPr id="31" name="TextBox 30">
          <a:extLst>
            <a:ext uri="{FF2B5EF4-FFF2-40B4-BE49-F238E27FC236}">
              <a16:creationId xmlns:a16="http://schemas.microsoft.com/office/drawing/2014/main" id="{DBDED370-5A6D-459E-B771-38C526C79171}"/>
            </a:ext>
          </a:extLst>
        </xdr:cNvPr>
        <xdr:cNvSpPr txBox="1"/>
      </xdr:nvSpPr>
      <xdr:spPr>
        <a:xfrm>
          <a:off x="4983479" y="1046197"/>
          <a:ext cx="1380631"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6415F24-64F0-4591-A86A-8BB144EDA001}" type="TxLink">
            <a:rPr lang="en-US" sz="1800" b="1" i="0" u="none" strike="noStrike">
              <a:solidFill>
                <a:schemeClr val="bg1"/>
              </a:solidFill>
              <a:latin typeface="Calibri"/>
              <a:ea typeface="Calibri"/>
              <a:cs typeface="Calibri"/>
            </a:rPr>
            <a:pPr marL="0" indent="0"/>
            <a:t>2,47,88,610</a:t>
          </a:fld>
          <a:endParaRPr lang="en-IN" sz="1800" b="1" i="0" u="none" strike="noStrike">
            <a:solidFill>
              <a:schemeClr val="bg1"/>
            </a:solidFill>
            <a:latin typeface="Calibri"/>
            <a:ea typeface="Calibri"/>
            <a:cs typeface="Calibri"/>
          </a:endParaRPr>
        </a:p>
      </xdr:txBody>
    </xdr:sp>
    <xdr:clientData/>
  </xdr:oneCellAnchor>
  <xdr:oneCellAnchor>
    <xdr:from>
      <xdr:col>7</xdr:col>
      <xdr:colOff>160786</xdr:colOff>
      <xdr:row>5</xdr:row>
      <xdr:rowOff>87086</xdr:rowOff>
    </xdr:from>
    <xdr:ext cx="1036320" cy="374141"/>
    <xdr:sp macro="" textlink="Analyze!C4">
      <xdr:nvSpPr>
        <xdr:cNvPr id="32" name="TextBox 31">
          <a:extLst>
            <a:ext uri="{FF2B5EF4-FFF2-40B4-BE49-F238E27FC236}">
              <a16:creationId xmlns:a16="http://schemas.microsoft.com/office/drawing/2014/main" id="{F23A2946-0ED2-491F-AB38-860490255079}"/>
            </a:ext>
          </a:extLst>
        </xdr:cNvPr>
        <xdr:cNvSpPr txBox="1"/>
      </xdr:nvSpPr>
      <xdr:spPr>
        <a:xfrm>
          <a:off x="7188119" y="1054705"/>
          <a:ext cx="1036320"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6FEAE1C-BB0A-477D-8C2F-6D128B073C54}" type="TxLink">
            <a:rPr lang="en-US" sz="1800" b="1" i="0" u="none" strike="noStrike">
              <a:solidFill>
                <a:schemeClr val="bg1"/>
              </a:solidFill>
              <a:latin typeface="Calibri"/>
              <a:ea typeface="Calibri"/>
              <a:cs typeface="Calibri"/>
            </a:rPr>
            <a:pPr marL="0" indent="0"/>
            <a:t>$0.45</a:t>
          </a:fld>
          <a:endParaRPr lang="en-IN" sz="1800" b="1" i="0" u="none" strike="noStrike">
            <a:solidFill>
              <a:schemeClr val="bg1"/>
            </a:solidFill>
            <a:latin typeface="Calibri"/>
            <a:ea typeface="Calibri"/>
            <a:cs typeface="Calibri"/>
          </a:endParaRPr>
        </a:p>
      </xdr:txBody>
    </xdr:sp>
    <xdr:clientData/>
  </xdr:oneCellAnchor>
  <xdr:oneCellAnchor>
    <xdr:from>
      <xdr:col>9</xdr:col>
      <xdr:colOff>363622</xdr:colOff>
      <xdr:row>5</xdr:row>
      <xdr:rowOff>83175</xdr:rowOff>
    </xdr:from>
    <xdr:ext cx="1145257" cy="374141"/>
    <xdr:sp macro="" textlink="Analyze!D4">
      <xdr:nvSpPr>
        <xdr:cNvPr id="33" name="TextBox 32">
          <a:extLst>
            <a:ext uri="{FF2B5EF4-FFF2-40B4-BE49-F238E27FC236}">
              <a16:creationId xmlns:a16="http://schemas.microsoft.com/office/drawing/2014/main" id="{EF5B45F7-B607-4A43-BB5B-D800B0B91FB6}"/>
            </a:ext>
          </a:extLst>
        </xdr:cNvPr>
        <xdr:cNvSpPr txBox="1"/>
      </xdr:nvSpPr>
      <xdr:spPr>
        <a:xfrm>
          <a:off x="9108479" y="1050794"/>
          <a:ext cx="1145257"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8F6C678-E74B-495F-A0C3-B1BDD0E8B48A}" type="TxLink">
            <a:rPr lang="en-US" sz="1800" b="1" i="0" u="none" strike="noStrike">
              <a:solidFill>
                <a:schemeClr val="bg1"/>
              </a:solidFill>
              <a:latin typeface="Calibri"/>
              <a:ea typeface="Calibri"/>
              <a:cs typeface="Calibri"/>
            </a:rPr>
            <a:pPr marL="0" indent="0"/>
            <a:t>47,22,497</a:t>
          </a:fld>
          <a:endParaRPr lang="en-IN" sz="1800" b="1" i="0" u="none" strike="noStrike">
            <a:solidFill>
              <a:schemeClr val="bg1"/>
            </a:solidFill>
            <a:latin typeface="Calibri"/>
            <a:ea typeface="Calibri"/>
            <a:cs typeface="Calibri"/>
          </a:endParaRPr>
        </a:p>
      </xdr:txBody>
    </xdr:sp>
    <xdr:clientData/>
  </xdr:oneCellAnchor>
  <xdr:twoCellAnchor>
    <xdr:from>
      <xdr:col>1</xdr:col>
      <xdr:colOff>321956</xdr:colOff>
      <xdr:row>20</xdr:row>
      <xdr:rowOff>147424</xdr:rowOff>
    </xdr:from>
    <xdr:to>
      <xdr:col>10</xdr:col>
      <xdr:colOff>850009</xdr:colOff>
      <xdr:row>32</xdr:row>
      <xdr:rowOff>147053</xdr:rowOff>
    </xdr:to>
    <xdr:graphicFrame macro="">
      <xdr:nvGraphicFramePr>
        <xdr:cNvPr id="34" name="Chart 33">
          <a:extLst>
            <a:ext uri="{FF2B5EF4-FFF2-40B4-BE49-F238E27FC236}">
              <a16:creationId xmlns:a16="http://schemas.microsoft.com/office/drawing/2014/main" id="{42838DA4-D753-4A3B-8FB3-72652709A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251113</xdr:colOff>
      <xdr:row>5</xdr:row>
      <xdr:rowOff>51956</xdr:rowOff>
    </xdr:from>
    <xdr:to>
      <xdr:col>0</xdr:col>
      <xdr:colOff>2079913</xdr:colOff>
      <xdr:row>14</xdr:row>
      <xdr:rowOff>190500</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C7D1D9C1-D2D2-4875-A2DC-8507EF60E6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1113" y="1041566"/>
              <a:ext cx="1828800" cy="187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193008</xdr:colOff>
      <xdr:row>17</xdr:row>
      <xdr:rowOff>181297</xdr:rowOff>
    </xdr:from>
    <xdr:to>
      <xdr:col>0</xdr:col>
      <xdr:colOff>2021808</xdr:colOff>
      <xdr:row>23</xdr:row>
      <xdr:rowOff>75457</xdr:rowOff>
    </xdr:to>
    <mc:AlternateContent xmlns:mc="http://schemas.openxmlformats.org/markup-compatibility/2006">
      <mc:Choice xmlns:a14="http://schemas.microsoft.com/office/drawing/2010/main" Requires="a14">
        <xdr:graphicFrame macro="">
          <xdr:nvGraphicFramePr>
            <xdr:cNvPr id="37" name="Years (Invoice Date)">
              <a:extLst>
                <a:ext uri="{FF2B5EF4-FFF2-40B4-BE49-F238E27FC236}">
                  <a16:creationId xmlns:a16="http://schemas.microsoft.com/office/drawing/2014/main" id="{D5472B4D-0D06-47BF-8D19-4A93AD374B4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93008" y="3635697"/>
              <a:ext cx="1828800" cy="111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pparthi Lokesh" refreshedDate="46061.897612384259" createdVersion="8" refreshedVersion="8" minRefreshableVersion="3" recordCount="9648" xr:uid="{83FC7897-C75F-437E-ACFB-F0831502D7D5}">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528563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8CF05-1F66-434E-A547-B40DD1D544C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D2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13" baseItem="4" numFmtId="164"/>
    <dataField name="Average of Operating Margin" fld="11" subtotal="average" baseField="13" baseItem="4"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95937-24B0-4FD1-90BB-96D4222B53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034E9-9A4B-4D42-BBA1-704BBD14E6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2" numFmtId="166"/>
    <dataField name="Sum of Operating Profit" fld="10" baseField="0" baseItem="0" numFmtId="164"/>
  </dataFields>
  <formats count="2">
    <format dxfId="5">
      <pivotArea outline="0" collapsedLevelsAreSubtotals="1" fieldPosition="0"/>
    </format>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36F02-970B-4D37-881A-7A9E4F18BC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I1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BB42DA-F073-4799-9C91-B7A9DE1514D6}" sourceName="Region">
  <pivotTables>
    <pivotTable tabId="5" name="PivotTable1"/>
    <pivotTable tabId="5" name="PivotTable2"/>
    <pivotTable tabId="5" name="PivotTable4"/>
    <pivotTable tabId="5" name="PivotTable3"/>
  </pivotTables>
  <data>
    <tabular pivotCacheId="528563024">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0F6DE14-1BF4-4D17-AC72-3A059C0F15ED}" sourceName="Years (Invoice Date)">
  <pivotTables>
    <pivotTable tabId="5" name="PivotTable1"/>
  </pivotTables>
  <data>
    <tabular pivotCacheId="52856302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F4D3C0-55FD-49F2-B25F-BF9F11E10B4D}" cache="Slicer_Region" caption="Region" rowHeight="260350"/>
  <slicer name="Years (Invoice Date)" xr10:uid="{23E8F88D-4154-4931-9487-EB2A2270E335}"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20" dataDxfId="19" tableBorderDxfId="18">
  <autoFilter ref="B4:M9652" xr:uid="{241C6583-A395-494F-B34A-BA98EEB4132C}"/>
  <tableColumns count="12">
    <tableColumn id="1" xr3:uid="{72C602C4-76C4-4A75-933A-FDC9591C1526}" name="Retailer" dataDxfId="17"/>
    <tableColumn id="2" xr3:uid="{725FD838-82AA-427A-9CE2-6C04110A316D}" name="Retailer ID" dataDxfId="16"/>
    <tableColumn id="3" xr3:uid="{9C123582-20EA-467F-A5ED-8224D6001C00}" name="Invoice Date" dataDxfId="15"/>
    <tableColumn id="4" xr3:uid="{134DBAE7-3279-40E6-98D9-CBECFFFB85D5}" name="Region" dataDxfId="14"/>
    <tableColumn id="5" xr3:uid="{C2E2A540-5264-40E1-8C95-F5F8159FEF6D}" name="State" dataDxfId="13"/>
    <tableColumn id="6" xr3:uid="{6DD89386-635C-40C8-9606-F930BAB18D98}" name="City" dataDxfId="12"/>
    <tableColumn id="7" xr3:uid="{79044A14-8C29-4B84-AA06-8282B70BA02E}" name="Beverage Brand" dataDxfId="11"/>
    <tableColumn id="8" xr3:uid="{A75130C6-6732-4DA3-A42A-8ECCD7E66F61}" name="Price per Unit" dataDxfId="10"/>
    <tableColumn id="9" xr3:uid="{3E7FDD09-C8F4-41A0-8B3E-09F0A7E4D8AD}" name="Units Sold" dataDxfId="9"/>
    <tableColumn id="10" xr3:uid="{521D1DF4-DD00-4778-9BB1-91E31DADFF87}" name="Total Sales" dataDxfId="8"/>
    <tableColumn id="11" xr3:uid="{94400550-7002-4F21-A27B-497430EA373F}" name="Operating Profit" dataDxfId="7"/>
    <tableColumn id="12" xr3:uid="{2526BB74-C8C1-4549-9ED9-43B205AA3AC6}" name="Operating Margin"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abSelected="1" zoomScale="74" zoomScaleNormal="100" workbookViewId="0">
      <selection activeCell="B3" sqref="B3"/>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3:I28"/>
  <sheetViews>
    <sheetView zoomScale="87" workbookViewId="0">
      <selection activeCell="N17" sqref="N17"/>
    </sheetView>
  </sheetViews>
  <sheetFormatPr defaultColWidth="8.796875" defaultRowHeight="15.6" x14ac:dyDescent="0.3"/>
  <cols>
    <col min="1" max="1" width="16.8984375" bestFit="1" customWidth="1"/>
    <col min="2" max="2" width="24.5" bestFit="1" customWidth="1"/>
    <col min="3" max="3" width="16.8984375" bestFit="1" customWidth="1"/>
    <col min="4" max="4" width="26.59765625" bestFit="1" customWidth="1"/>
    <col min="5" max="5" width="24.3984375" bestFit="1" customWidth="1"/>
    <col min="6" max="6" width="16.8984375" bestFit="1" customWidth="1"/>
    <col min="7" max="7" width="16.59765625" bestFit="1" customWidth="1"/>
    <col min="8" max="8" width="11" bestFit="1" customWidth="1"/>
    <col min="9" max="9" width="12.59765625" bestFit="1" customWidth="1"/>
    <col min="10" max="10" width="10.09765625" bestFit="1" customWidth="1"/>
    <col min="11" max="11" width="16.8984375" bestFit="1" customWidth="1"/>
    <col min="12" max="12" width="16.59765625" bestFit="1" customWidth="1"/>
    <col min="13" max="13" width="11" bestFit="1" customWidth="1"/>
    <col min="14" max="14" width="12.59765625" bestFit="1" customWidth="1"/>
    <col min="15" max="725" width="10.09765625" bestFit="1" customWidth="1"/>
    <col min="726" max="726" width="12" bestFit="1" customWidth="1"/>
  </cols>
  <sheetData>
    <row r="3" spans="1:9" x14ac:dyDescent="0.3">
      <c r="A3" t="s">
        <v>138</v>
      </c>
      <c r="B3" t="s">
        <v>139</v>
      </c>
      <c r="C3" t="s">
        <v>141</v>
      </c>
      <c r="D3" t="s">
        <v>140</v>
      </c>
    </row>
    <row r="4" spans="1:9" x14ac:dyDescent="0.3">
      <c r="A4" s="13">
        <v>12016664.999999965</v>
      </c>
      <c r="B4" s="13">
        <v>24788610</v>
      </c>
      <c r="C4" s="19">
        <v>0.45216625207296596</v>
      </c>
      <c r="D4" s="13">
        <v>4722496.7700000061</v>
      </c>
    </row>
    <row r="7" spans="1:9" x14ac:dyDescent="0.3">
      <c r="A7" s="14" t="s">
        <v>138</v>
      </c>
      <c r="B7" s="14" t="s">
        <v>144</v>
      </c>
      <c r="F7" s="14" t="s">
        <v>138</v>
      </c>
      <c r="G7" s="14" t="s">
        <v>144</v>
      </c>
    </row>
    <row r="8" spans="1:9" x14ac:dyDescent="0.3">
      <c r="A8" s="14" t="s">
        <v>142</v>
      </c>
      <c r="B8" t="s">
        <v>145</v>
      </c>
      <c r="C8" t="s">
        <v>146</v>
      </c>
      <c r="D8" t="s">
        <v>143</v>
      </c>
      <c r="F8" s="14" t="s">
        <v>142</v>
      </c>
      <c r="G8" t="s">
        <v>145</v>
      </c>
      <c r="H8" t="s">
        <v>146</v>
      </c>
      <c r="I8" t="s">
        <v>143</v>
      </c>
    </row>
    <row r="9" spans="1:9" x14ac:dyDescent="0.3">
      <c r="A9" s="15" t="s">
        <v>14</v>
      </c>
      <c r="B9" s="12">
        <v>499102.00000000017</v>
      </c>
      <c r="C9" s="12">
        <v>2268974.9000000032</v>
      </c>
      <c r="D9" s="12">
        <v>2768076.9000000032</v>
      </c>
      <c r="F9" s="15" t="s">
        <v>130</v>
      </c>
      <c r="G9" s="12">
        <v>276210</v>
      </c>
      <c r="H9" s="12">
        <v>1009698.7</v>
      </c>
      <c r="I9" s="12">
        <v>1285908.7</v>
      </c>
    </row>
    <row r="10" spans="1:9" x14ac:dyDescent="0.3">
      <c r="A10" s="15" t="s">
        <v>19</v>
      </c>
      <c r="B10" s="12">
        <v>469270.69999999984</v>
      </c>
      <c r="C10" s="12">
        <v>1917827.7999999949</v>
      </c>
      <c r="D10" s="12">
        <v>2387098.4999999949</v>
      </c>
      <c r="F10" s="15" t="s">
        <v>20</v>
      </c>
      <c r="G10" s="12">
        <v>466787.99999999994</v>
      </c>
      <c r="H10" s="12">
        <v>2327606.5000000019</v>
      </c>
      <c r="I10" s="12">
        <v>2794394.5000000019</v>
      </c>
    </row>
    <row r="11" spans="1:9" x14ac:dyDescent="0.3">
      <c r="A11" s="15" t="s">
        <v>15</v>
      </c>
      <c r="B11" s="12">
        <v>423758.70000000007</v>
      </c>
      <c r="C11" s="12">
        <v>1633959.3000000005</v>
      </c>
      <c r="D11" s="12">
        <v>2057718.0000000005</v>
      </c>
      <c r="F11" s="15" t="s">
        <v>127</v>
      </c>
      <c r="G11" s="12">
        <v>161210.1</v>
      </c>
      <c r="H11" s="12">
        <v>2262827.0999999978</v>
      </c>
      <c r="I11" s="12">
        <v>2424037.1999999979</v>
      </c>
    </row>
    <row r="12" spans="1:9" x14ac:dyDescent="0.3">
      <c r="A12" s="15" t="s">
        <v>17</v>
      </c>
      <c r="B12" s="12">
        <v>315489.20000000013</v>
      </c>
      <c r="C12" s="12">
        <v>1116062.9000000027</v>
      </c>
      <c r="D12" s="12">
        <v>1431552.1000000029</v>
      </c>
      <c r="F12" s="15" t="s">
        <v>129</v>
      </c>
      <c r="G12" s="12">
        <v>9250.3000000000011</v>
      </c>
      <c r="H12" s="12">
        <v>1341994.9999999998</v>
      </c>
      <c r="I12" s="12">
        <v>1351245.2999999998</v>
      </c>
    </row>
    <row r="13" spans="1:9" x14ac:dyDescent="0.3">
      <c r="A13" s="15" t="s">
        <v>18</v>
      </c>
      <c r="B13" s="12">
        <v>349533.89999999997</v>
      </c>
      <c r="C13" s="12">
        <v>1302529.3000000012</v>
      </c>
      <c r="D13" s="12">
        <v>1652063.2000000011</v>
      </c>
      <c r="F13" s="15" t="s">
        <v>126</v>
      </c>
      <c r="G13" s="12">
        <v>339912.5</v>
      </c>
      <c r="H13" s="12">
        <v>580211.00000000023</v>
      </c>
      <c r="I13" s="12">
        <v>920123.50000000023</v>
      </c>
    </row>
    <row r="14" spans="1:9" x14ac:dyDescent="0.3">
      <c r="A14" s="15" t="s">
        <v>16</v>
      </c>
      <c r="B14" s="12">
        <v>366577.99999999988</v>
      </c>
      <c r="C14" s="12">
        <v>1353578.2999999986</v>
      </c>
      <c r="D14" s="12">
        <v>1720156.2999999984</v>
      </c>
      <c r="F14" s="15" t="s">
        <v>128</v>
      </c>
      <c r="G14" s="12">
        <v>1170361.5999999996</v>
      </c>
      <c r="H14" s="12">
        <v>2070594.1999999993</v>
      </c>
      <c r="I14" s="12">
        <v>3240955.7999999989</v>
      </c>
    </row>
    <row r="15" spans="1:9" x14ac:dyDescent="0.3">
      <c r="A15" s="15" t="s">
        <v>143</v>
      </c>
      <c r="B15" s="12">
        <v>2423732.5</v>
      </c>
      <c r="C15" s="12">
        <v>9592932.5000000019</v>
      </c>
      <c r="D15" s="12">
        <v>12016665.000000002</v>
      </c>
      <c r="F15" s="15" t="s">
        <v>143</v>
      </c>
      <c r="G15" s="12">
        <v>2423732.4999999995</v>
      </c>
      <c r="H15" s="12">
        <v>9592932.5</v>
      </c>
      <c r="I15" s="12">
        <v>12016665</v>
      </c>
    </row>
    <row r="19" spans="1:8" x14ac:dyDescent="0.3">
      <c r="A19" s="14" t="s">
        <v>151</v>
      </c>
      <c r="B19" s="14" t="s">
        <v>152</v>
      </c>
      <c r="C19" t="s">
        <v>138</v>
      </c>
      <c r="D19" t="s">
        <v>153</v>
      </c>
    </row>
    <row r="20" spans="1:8" x14ac:dyDescent="0.3">
      <c r="A20" t="s">
        <v>145</v>
      </c>
      <c r="B20" t="s">
        <v>147</v>
      </c>
      <c r="C20" s="12">
        <v>692776.09999999986</v>
      </c>
      <c r="D20" s="16">
        <v>0.40174683544303763</v>
      </c>
      <c r="E20" t="str">
        <f>A20</f>
        <v>2022</v>
      </c>
      <c r="F20" t="str">
        <f t="shared" ref="F20:H20" si="0">B20</f>
        <v>Qtr1</v>
      </c>
      <c r="G20">
        <f t="shared" si="0"/>
        <v>692776.09999999986</v>
      </c>
      <c r="H20">
        <f t="shared" si="0"/>
        <v>0.40174683544303763</v>
      </c>
    </row>
    <row r="21" spans="1:8" x14ac:dyDescent="0.3">
      <c r="B21" t="s">
        <v>148</v>
      </c>
      <c r="C21" s="12">
        <v>644203.89999999932</v>
      </c>
      <c r="D21" s="16">
        <v>0.40000000000000013</v>
      </c>
      <c r="F21" t="str">
        <f t="shared" ref="F21:F27" si="1">B21</f>
        <v>Qtr2</v>
      </c>
      <c r="G21">
        <f t="shared" ref="G21:G27" si="2">C21</f>
        <v>644203.89999999932</v>
      </c>
      <c r="H21">
        <f t="shared" ref="H21:H27" si="3">D21</f>
        <v>0.40000000000000013</v>
      </c>
    </row>
    <row r="22" spans="1:8" x14ac:dyDescent="0.3">
      <c r="B22" t="s">
        <v>149</v>
      </c>
      <c r="C22" s="12">
        <v>719170.39999999979</v>
      </c>
      <c r="D22" s="16">
        <v>0.41026548672566376</v>
      </c>
      <c r="F22" t="str">
        <f t="shared" si="1"/>
        <v>Qtr3</v>
      </c>
      <c r="G22">
        <f t="shared" si="2"/>
        <v>719170.39999999979</v>
      </c>
      <c r="H22">
        <f t="shared" si="3"/>
        <v>0.41026548672566376</v>
      </c>
    </row>
    <row r="23" spans="1:8" x14ac:dyDescent="0.3">
      <c r="B23" t="s">
        <v>150</v>
      </c>
      <c r="C23" s="12">
        <v>367582.10000000015</v>
      </c>
      <c r="D23" s="16">
        <v>0.40243816254416953</v>
      </c>
      <c r="F23" t="str">
        <f t="shared" si="1"/>
        <v>Qtr4</v>
      </c>
      <c r="G23">
        <f t="shared" si="2"/>
        <v>367582.10000000015</v>
      </c>
      <c r="H23">
        <f t="shared" si="3"/>
        <v>0.40243816254416953</v>
      </c>
    </row>
    <row r="24" spans="1:8" x14ac:dyDescent="0.3">
      <c r="A24" t="s">
        <v>146</v>
      </c>
      <c r="B24" t="s">
        <v>147</v>
      </c>
      <c r="C24" s="12">
        <v>1877584.300000001</v>
      </c>
      <c r="D24" s="16">
        <v>0.41657045009784782</v>
      </c>
      <c r="E24" t="str">
        <f t="shared" ref="E24" si="4">A24</f>
        <v>2023</v>
      </c>
      <c r="F24" t="str">
        <f t="shared" si="1"/>
        <v>Qtr1</v>
      </c>
      <c r="G24">
        <f t="shared" si="2"/>
        <v>1877584.300000001</v>
      </c>
      <c r="H24">
        <f t="shared" si="3"/>
        <v>0.41657045009784782</v>
      </c>
    </row>
    <row r="25" spans="1:8" x14ac:dyDescent="0.3">
      <c r="B25" t="s">
        <v>148</v>
      </c>
      <c r="C25" s="12">
        <v>2379424.800000004</v>
      </c>
      <c r="D25" s="16">
        <v>0.42755819477434692</v>
      </c>
      <c r="F25" t="str">
        <f t="shared" si="1"/>
        <v>Qtr2</v>
      </c>
      <c r="G25">
        <f t="shared" si="2"/>
        <v>2379424.800000004</v>
      </c>
      <c r="H25">
        <f t="shared" si="3"/>
        <v>0.42755819477434692</v>
      </c>
    </row>
    <row r="26" spans="1:8" x14ac:dyDescent="0.3">
      <c r="B26" t="s">
        <v>149</v>
      </c>
      <c r="C26" s="12">
        <v>2805752.5000000005</v>
      </c>
      <c r="D26" s="16">
        <v>0.4347017045454537</v>
      </c>
      <c r="F26" t="str">
        <f t="shared" si="1"/>
        <v>Qtr3</v>
      </c>
      <c r="G26">
        <f t="shared" si="2"/>
        <v>2805752.5000000005</v>
      </c>
      <c r="H26">
        <f t="shared" si="3"/>
        <v>0.4347017045454537</v>
      </c>
    </row>
    <row r="27" spans="1:8" x14ac:dyDescent="0.3">
      <c r="B27" t="s">
        <v>150</v>
      </c>
      <c r="C27" s="12">
        <v>2530170.899999999</v>
      </c>
      <c r="D27" s="16">
        <v>0.42483932853717082</v>
      </c>
      <c r="F27" t="str">
        <f t="shared" si="1"/>
        <v>Qtr4</v>
      </c>
      <c r="G27">
        <f t="shared" si="2"/>
        <v>2530170.899999999</v>
      </c>
      <c r="H27">
        <f t="shared" si="3"/>
        <v>0.42483932853717082</v>
      </c>
    </row>
    <row r="28" spans="1:8" x14ac:dyDescent="0.3">
      <c r="A28" t="s">
        <v>143</v>
      </c>
      <c r="C28" s="12">
        <v>12016664.999999991</v>
      </c>
      <c r="D28" s="16">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7:M20"/>
  <sheetViews>
    <sheetView showGridLines="0" zoomScale="75" zoomScaleNormal="107" workbookViewId="0">
      <selection activeCell="N18" sqref="N18"/>
    </sheetView>
  </sheetViews>
  <sheetFormatPr defaultColWidth="11.19921875" defaultRowHeight="15.6" x14ac:dyDescent="0.3"/>
  <cols>
    <col min="1" max="1" width="31.59765625" style="10" customWidth="1"/>
    <col min="2" max="2" width="4.296875" customWidth="1"/>
  </cols>
  <sheetData>
    <row r="7" spans="1:13" x14ac:dyDescent="0.3">
      <c r="M7" s="20"/>
    </row>
    <row r="8" spans="1:13" x14ac:dyDescent="0.3">
      <c r="A8" s="10" t="s">
        <v>155</v>
      </c>
    </row>
    <row r="9" spans="1:13" x14ac:dyDescent="0.3">
      <c r="C9" s="21" t="s">
        <v>135</v>
      </c>
      <c r="D9" s="21"/>
      <c r="E9" s="21"/>
      <c r="F9" s="21"/>
      <c r="H9" s="21" t="s">
        <v>136</v>
      </c>
      <c r="I9" s="22"/>
      <c r="J9" s="22"/>
      <c r="K9" s="22"/>
    </row>
    <row r="10" spans="1:13" x14ac:dyDescent="0.3">
      <c r="C10" s="11" t="s">
        <v>131</v>
      </c>
      <c r="D10" s="11" t="s">
        <v>132</v>
      </c>
      <c r="E10" s="11" t="s">
        <v>133</v>
      </c>
      <c r="F10" s="11" t="s">
        <v>134</v>
      </c>
      <c r="H10" s="11" t="s">
        <v>0</v>
      </c>
      <c r="I10" s="11" t="s">
        <v>132</v>
      </c>
      <c r="J10" s="11" t="s">
        <v>133</v>
      </c>
      <c r="K10" s="11" t="s">
        <v>134</v>
      </c>
    </row>
    <row r="11" spans="1:13" x14ac:dyDescent="0.3">
      <c r="C11" t="str">
        <f>Analyze!A9</f>
        <v>Coca-Cola</v>
      </c>
      <c r="D11" s="13">
        <f>Analyze!B9</f>
        <v>499102.00000000017</v>
      </c>
      <c r="E11" s="13">
        <f>Analyze!C9</f>
        <v>2268974.9000000032</v>
      </c>
      <c r="F11" s="13">
        <f>E11-D11</f>
        <v>1769872.9000000029</v>
      </c>
      <c r="H11" s="13" t="str">
        <f>Analyze!F9</f>
        <v>Amazon</v>
      </c>
      <c r="I11" s="13">
        <f>Analyze!G9</f>
        <v>276210</v>
      </c>
      <c r="J11" s="13">
        <f>Analyze!H9</f>
        <v>1009698.7</v>
      </c>
      <c r="K11" s="13">
        <f>J11-I11</f>
        <v>733488.7</v>
      </c>
    </row>
    <row r="12" spans="1:13" x14ac:dyDescent="0.3">
      <c r="C12" t="str">
        <f>Analyze!A10</f>
        <v>Dasani Water</v>
      </c>
      <c r="D12" s="13">
        <f>Analyze!B10</f>
        <v>469270.69999999984</v>
      </c>
      <c r="E12" s="13">
        <f>Analyze!C10</f>
        <v>1917827.7999999949</v>
      </c>
      <c r="F12" s="13">
        <f t="shared" ref="F12:F16" si="0">E12-D12</f>
        <v>1448557.099999995</v>
      </c>
      <c r="H12" s="13" t="str">
        <f>Analyze!F10</f>
        <v>BevCo</v>
      </c>
      <c r="I12" s="13">
        <f>Analyze!G10</f>
        <v>466787.99999999994</v>
      </c>
      <c r="J12" s="13">
        <f>Analyze!H10</f>
        <v>2327606.5000000019</v>
      </c>
      <c r="K12" s="13">
        <f t="shared" ref="K12:K17" si="1">J12-I12</f>
        <v>1860818.5000000019</v>
      </c>
    </row>
    <row r="13" spans="1:13" x14ac:dyDescent="0.3">
      <c r="C13" t="str">
        <f>Analyze!A11</f>
        <v>Diet Coke</v>
      </c>
      <c r="D13" s="13">
        <f>Analyze!B11</f>
        <v>423758.70000000007</v>
      </c>
      <c r="E13" s="13">
        <f>Analyze!C11</f>
        <v>1633959.3000000005</v>
      </c>
      <c r="F13" s="13">
        <f t="shared" si="0"/>
        <v>1210200.6000000006</v>
      </c>
      <c r="H13" s="13" t="str">
        <f>Analyze!F11</f>
        <v>FizzyCo</v>
      </c>
      <c r="I13" s="13">
        <f>Analyze!G11</f>
        <v>161210.1</v>
      </c>
      <c r="J13" s="13">
        <f>Analyze!H11</f>
        <v>2262827.0999999978</v>
      </c>
      <c r="K13" s="13">
        <f t="shared" si="1"/>
        <v>2101616.9999999977</v>
      </c>
    </row>
    <row r="14" spans="1:13" x14ac:dyDescent="0.3">
      <c r="C14" t="str">
        <f>Analyze!A12</f>
        <v>Fanta</v>
      </c>
      <c r="D14" s="13">
        <f>Analyze!B12</f>
        <v>315489.20000000013</v>
      </c>
      <c r="E14" s="13">
        <f>Analyze!C12</f>
        <v>1116062.9000000027</v>
      </c>
      <c r="F14" s="13">
        <f t="shared" si="0"/>
        <v>800573.70000000251</v>
      </c>
      <c r="H14" s="13" t="str">
        <f>Analyze!F12</f>
        <v>Target</v>
      </c>
      <c r="I14" s="13">
        <f>Analyze!G12</f>
        <v>9250.3000000000011</v>
      </c>
      <c r="J14" s="13">
        <f>Analyze!H12</f>
        <v>1341994.9999999998</v>
      </c>
      <c r="K14" s="13">
        <f t="shared" si="1"/>
        <v>1332744.6999999997</v>
      </c>
    </row>
    <row r="15" spans="1:13" x14ac:dyDescent="0.3">
      <c r="C15" t="str">
        <f>Analyze!A13</f>
        <v>Powerade</v>
      </c>
      <c r="D15" s="13">
        <f>Analyze!B13</f>
        <v>349533.89999999997</v>
      </c>
      <c r="E15" s="13">
        <f>Analyze!C13</f>
        <v>1302529.3000000012</v>
      </c>
      <c r="F15" s="13">
        <f t="shared" si="0"/>
        <v>952995.4000000013</v>
      </c>
      <c r="H15" s="13" t="str">
        <f>Analyze!F13</f>
        <v>Walmart</v>
      </c>
      <c r="I15" s="13">
        <f>Analyze!G13</f>
        <v>339912.5</v>
      </c>
      <c r="J15" s="13">
        <f>Analyze!H13</f>
        <v>580211.00000000023</v>
      </c>
      <c r="K15" s="13">
        <f t="shared" si="1"/>
        <v>240298.50000000023</v>
      </c>
    </row>
    <row r="16" spans="1:13" x14ac:dyDescent="0.3">
      <c r="C16" t="str">
        <f>Analyze!A14</f>
        <v>Sprite</v>
      </c>
      <c r="D16" s="13">
        <f>Analyze!B14</f>
        <v>366577.99999999988</v>
      </c>
      <c r="E16" s="13">
        <f>Analyze!C14</f>
        <v>1353578.2999999986</v>
      </c>
      <c r="F16" s="13">
        <f t="shared" si="0"/>
        <v>987000.29999999877</v>
      </c>
      <c r="H16" s="13" t="str">
        <f>Analyze!F14</f>
        <v>West Soda</v>
      </c>
      <c r="I16" s="13">
        <f>Analyze!G14</f>
        <v>1170361.5999999996</v>
      </c>
      <c r="J16" s="13">
        <f>Analyze!H14</f>
        <v>2070594.1999999993</v>
      </c>
      <c r="K16" s="13">
        <f t="shared" si="1"/>
        <v>900232.59999999963</v>
      </c>
    </row>
    <row r="17" spans="3:11" x14ac:dyDescent="0.3">
      <c r="C17" s="17" t="s">
        <v>154</v>
      </c>
      <c r="D17" s="18">
        <f>SUM(D11:D16)</f>
        <v>2423732.5</v>
      </c>
      <c r="E17" s="18">
        <f t="shared" ref="E17:F17" si="2">SUM(E11:E16)</f>
        <v>9592932.5000000019</v>
      </c>
      <c r="F17" s="18">
        <f t="shared" si="2"/>
        <v>7169200.0000000009</v>
      </c>
      <c r="H17" s="18" t="str">
        <f>Analyze!F15</f>
        <v>Grand Total</v>
      </c>
      <c r="I17" s="18">
        <f>Analyze!G15</f>
        <v>2423732.4999999995</v>
      </c>
      <c r="J17" s="18">
        <f>Analyze!H15</f>
        <v>9592932.5</v>
      </c>
      <c r="K17" s="18">
        <f t="shared" si="1"/>
        <v>7169200</v>
      </c>
    </row>
    <row r="20" spans="3:11" x14ac:dyDescent="0.3">
      <c r="C20" s="23" t="s">
        <v>137</v>
      </c>
      <c r="D20" s="23"/>
      <c r="E20" s="23"/>
      <c r="F20" s="23"/>
      <c r="G20" s="23"/>
      <c r="H20" s="23"/>
      <c r="I20" s="23"/>
      <c r="J20" s="23"/>
      <c r="K20" s="23"/>
    </row>
  </sheetData>
  <mergeCells count="3">
    <mergeCell ref="H9:K9"/>
    <mergeCell ref="C9:F9"/>
    <mergeCell ref="C20:K20"/>
  </mergeCells>
  <conditionalFormatting sqref="F11:F16">
    <cfRule type="dataBar" priority="1">
      <dataBar>
        <cfvo type="min"/>
        <cfvo type="max"/>
        <color rgb="FF63C384"/>
      </dataBar>
      <extLst>
        <ext xmlns:x14="http://schemas.microsoft.com/office/spreadsheetml/2009/9/main" uri="{B025F937-C7B1-47D3-B67F-A62EFF666E3E}">
          <x14:id>{71711A70-0495-4F57-A8F2-99EEF4E35BCC}</x14:id>
        </ext>
      </extLst>
    </cfRule>
  </conditionalFormatting>
  <conditionalFormatting sqref="K11:K16">
    <cfRule type="dataBar" priority="2">
      <dataBar>
        <cfvo type="min"/>
        <cfvo type="max"/>
        <color rgb="FF63C384"/>
      </dataBar>
      <extLst>
        <ext xmlns:x14="http://schemas.microsoft.com/office/spreadsheetml/2009/9/main" uri="{B025F937-C7B1-47D3-B67F-A62EFF666E3E}">
          <x14:id>{E5E61459-F105-46C8-B9B6-1E706696DA34}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1711A70-0495-4F57-A8F2-99EEF4E35BCC}">
            <x14:dataBar minLength="0" maxLength="100" border="1" negativeBarBorderColorSameAsPositive="0">
              <x14:cfvo type="autoMin"/>
              <x14:cfvo type="autoMax"/>
              <x14:borderColor rgb="FF63C384"/>
              <x14:negativeFillColor rgb="FFFF0000"/>
              <x14:negativeBorderColor rgb="FFFF0000"/>
              <x14:axisColor rgb="FF000000"/>
            </x14:dataBar>
          </x14:cfRule>
          <xm:sqref>F11:F16</xm:sqref>
        </x14:conditionalFormatting>
        <x14:conditionalFormatting xmlns:xm="http://schemas.microsoft.com/office/excel/2006/main">
          <x14:cfRule type="dataBar" id="{E5E61459-F105-46C8-B9B6-1E706696DA34}">
            <x14:dataBar minLength="0" maxLength="100" border="1" negativeBarBorderColorSameAsPositive="0">
              <x14:cfvo type="autoMin"/>
              <x14:cfvo type="autoMax"/>
              <x14:borderColor rgb="FF63C384"/>
              <x14:negativeFillColor rgb="FFFF0000"/>
              <x14:negativeBorderColor rgb="FFFF0000"/>
              <x14:axisColor rgb="FF000000"/>
            </x14:dataBar>
          </x14:cfRule>
          <xm:sqref>K11:K16</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Kopparthi Lokesh</cp:lastModifiedBy>
  <dcterms:created xsi:type="dcterms:W3CDTF">2023-12-18T11:08:00Z</dcterms:created>
  <dcterms:modified xsi:type="dcterms:W3CDTF">2026-02-10T18:52:42Z</dcterms:modified>
</cp:coreProperties>
</file>